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Leyes (Cámara)" sheetId="1" r:id="rId1"/>
    <sheet name="Leyes (DOF)" sheetId="2" r:id="rId2"/>
    <sheet name="Historial de cambios" sheetId="3" r:id="rId3"/>
  </sheets>
  <definedNames>
    <definedName name="_xlnm._FilterDatabase" localSheetId="0" hidden="1">'Leyes (Cámara)'!$A$1:$H$33</definedName>
    <definedName name="_xlnm._FilterDatabase" localSheetId="1" hidden="1">'Leyes (DOF)'!$A$1:$G$33</definedName>
    <definedName name="_xlnm._FilterDatabase" localSheetId="2" hidden="1">'Historial de cambios'!$A$1:$I$32</definedName>
  </definedNames>
</workbook>
</file>

<file path=xl/sharedStrings.xml><?xml version="1.0" encoding="utf-8"?>
<sst xmlns="http://schemas.openxmlformats.org/spreadsheetml/2006/main" count="74" uniqueCount="74">
  <si>
    <t xml:space="preserve">#</t>
  </si>
  <si>
    <t xml:space="preserve">Nombre en Artonseley</t>
  </si>
  <si>
    <t xml:space="preserve">Nombre oficial</t>
  </si>
  <si>
    <t xml:space="preserve">Sector</t>
  </si>
  <si>
    <t xml:space="preserve">Artículos</t>
  </si>
  <si>
    <t xml:space="preserve">Última reforma</t>
  </si>
  <si>
    <t xml:space="preserve">Actualizado en Artonseley</t>
  </si>
  <si>
    <t xml:space="preserve">Pendiente de actualizar</t>
  </si>
  <si>
    <t xml:space="preserve">Constitución Política de los Estados Unidos Mexicanos</t>
  </si>
  <si>
    <t xml:space="preserve">Constitucional</t>
  </si>
  <si>
    <t xml:space="preserve">No</t>
  </si>
  <si>
    <t xml:space="preserve">Ley Orgánica del Poder Judicial de la Federación</t>
  </si>
  <si>
    <t xml:space="preserve">Código Civil Federal</t>
  </si>
  <si>
    <t xml:space="preserve">Civil</t>
  </si>
  <si>
    <t xml:space="preserve">Código Federal de Procedimientos Civiles</t>
  </si>
  <si>
    <t xml:space="preserve">Código Nacional de Procedimientos Penales</t>
  </si>
  <si>
    <t xml:space="preserve">Penal</t>
  </si>
  <si>
    <t xml:space="preserve">Código Penal Federal</t>
  </si>
  <si>
    <t xml:space="preserve">Ley Nacional de Ejecución Penal</t>
  </si>
  <si>
    <t xml:space="preserve">Código de Comercio</t>
  </si>
  <si>
    <t xml:space="preserve">Mercantil</t>
  </si>
  <si>
    <t xml:space="preserve">Ley Federal de Protección a la Propiedad Industrial</t>
  </si>
  <si>
    <t xml:space="preserve">Ley Federal de Protección al Consumidor</t>
  </si>
  <si>
    <t xml:space="preserve">Ley Federal del Derecho de Autor</t>
  </si>
  <si>
    <t xml:space="preserve">Ley General de Sociedades Mercantiles</t>
  </si>
  <si>
    <t xml:space="preserve">Ley del Mercado de Valores</t>
  </si>
  <si>
    <t xml:space="preserve">Ley Federal de Competencia Económica</t>
  </si>
  <si>
    <t xml:space="preserve">Financiero</t>
  </si>
  <si>
    <t xml:space="preserve">Ley General de Operaciones y Títulos de Crédito</t>
  </si>
  <si>
    <t xml:space="preserve">Ley General de Títulos y Operaciones de Crédito</t>
  </si>
  <si>
    <t xml:space="preserve">Código Fiscal de la Federación</t>
  </si>
  <si>
    <t xml:space="preserve">Fiscal</t>
  </si>
  <si>
    <t xml:space="preserve">Ley Federal de Procedimiento Contencioso Administrativo</t>
  </si>
  <si>
    <t xml:space="preserve">Ley del Impuesto Sobre la Renta</t>
  </si>
  <si>
    <t xml:space="preserve">Ley del Impuesto sobre la Renta</t>
  </si>
  <si>
    <t xml:space="preserve">Ley del Impuesto al Valor Agregado</t>
  </si>
  <si>
    <t xml:space="preserve">La Ley Federal de Procedimiento Administrativo</t>
  </si>
  <si>
    <t xml:space="preserve">Ley Federal de Procedimiento Administrativo</t>
  </si>
  <si>
    <t xml:space="preserve">Administración</t>
  </si>
  <si>
    <t xml:space="preserve">Ley General de Bienes Nacionales</t>
  </si>
  <si>
    <t xml:space="preserve">Ley Federal del Trabajo</t>
  </si>
  <si>
    <t xml:space="preserve">Trabajo</t>
  </si>
  <si>
    <t xml:space="preserve">Ley Federal de los Trabajadores al Servicio del Estado</t>
  </si>
  <si>
    <t xml:space="preserve">Ley de Amparo</t>
  </si>
  <si>
    <t xml:space="preserve">Derechos Humanos</t>
  </si>
  <si>
    <t xml:space="preserve">Ley Federal de Protección de Datos Personales en Posesión de los Particulares</t>
  </si>
  <si>
    <t xml:space="preserve">Ley General de Víctimas</t>
  </si>
  <si>
    <t xml:space="preserve">Ley General de Salud</t>
  </si>
  <si>
    <t xml:space="preserve">Salud</t>
  </si>
  <si>
    <t xml:space="preserve">Ley de Seguro Social</t>
  </si>
  <si>
    <t xml:space="preserve">Ley del Seguro Social</t>
  </si>
  <si>
    <t xml:space="preserve">Ley de Aguas Nacionales</t>
  </si>
  <si>
    <t xml:space="preserve">Medio Ambiente</t>
  </si>
  <si>
    <t xml:space="preserve">Ley General del Equilibrio Ecológico y la Protección al Ambiente</t>
  </si>
  <si>
    <t xml:space="preserve">Ley Agraria</t>
  </si>
  <si>
    <t xml:space="preserve">Agrario</t>
  </si>
  <si>
    <t xml:space="preserve">Código Justicia Militar</t>
  </si>
  <si>
    <t xml:space="preserve">Código de Justicia Militar</t>
  </si>
  <si>
    <t xml:space="preserve">Militar</t>
  </si>
  <si>
    <t xml:space="preserve">Fecha de revisión</t>
  </si>
  <si>
    <t xml:space="preserve">Fuente</t>
  </si>
  <si>
    <t xml:space="preserve">Ley</t>
  </si>
  <si>
    <t xml:space="preserve">Reforma anterior</t>
  </si>
  <si>
    <t xml:space="preserve">Reforma nueva</t>
  </si>
  <si>
    <t xml:space="preserve">Archivo modificado</t>
  </si>
  <si>
    <t xml:space="preserve">Detalle</t>
  </si>
  <si>
    <t xml:space="preserve">Enlace</t>
  </si>
  <si>
    <t xml:space="preserve">Cámara de Diputados</t>
  </si>
  <si>
    <t xml:space="preserve">(vacío)</t>
  </si>
  <si>
    <t xml:space="preserve">leyes_artonseley.csv</t>
  </si>
  <si>
    <t xml:space="preserve">Registro inicial de la fecha de última reforma — Nuevas reformas</t>
  </si>
  <si>
    <t xml:space="preserve">Registro inicial de la fecha de última reforma</t>
  </si>
  <si>
    <t xml:space="preserve">Registro inicial de la fecha de última reforma — ( Abrogado en un plazo que no exceda del 01/04/2027 )</t>
  </si>
  <si>
    <t xml:space="preserve">Registro inicial de la fecha de última reforma — Nueva reforma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</si>
</sst>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3">
    <font>
      <sz val="11"/>
      <name val="Calibri"/>
    </font>
    <font>
      <b/>
      <sz val="11"/>
      <color rgb="FFFFFFFF"/>
      <name val="Calibri"/>
    </font>
    <font>
      <u/>
      <sz val="11"/>
      <color rgb="FF1155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A6BA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top"/>
    </xf>
    <xf numFmtId="0" fontId="0" fillId="3" borderId="1" xfId="0" applyNumberFormat="1" applyFont="1" applyFill="1" applyBorder="1" applyAlignment="1">
      <alignment vertical="top"/>
    </xf>
    <xf numFmtId="1" fontId="0" fillId="0" borderId="1" xfId="0" applyNumberFormat="1" applyFont="1" applyFill="1" applyBorder="1" applyAlignment="1">
      <alignment vertical="top"/>
    </xf>
    <xf numFmtId="1" fontId="0" fillId="3" borderId="1" xfId="0" applyNumberFormat="1" applyFont="1" applyFill="1" applyBorder="1" applyAlignment="1">
      <alignment vertical="top"/>
    </xf>
    <xf numFmtId="164" fontId="0" fillId="0" borderId="1" xfId="0" applyNumberFormat="1" applyFont="1" applyFill="1" applyBorder="1" applyAlignment="1">
      <alignment vertical="top"/>
    </xf>
    <xf numFmtId="164" fontId="0" fillId="3" borderId="1" xfId="0" applyNumberFormat="1" applyFont="1" applyFill="1" applyBorder="1" applyAlignment="1">
      <alignment vertical="top"/>
    </xf>
    <xf numFmtId="165" fontId="0" fillId="0" borderId="1" xfId="0" applyNumberFormat="1" applyFont="1" applyFill="1" applyBorder="1" applyAlignment="1">
      <alignment vertical="top"/>
    </xf>
    <xf numFmtId="165" fontId="0" fillId="3" borderId="1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vertical="top"/>
    </xf>
    <xf numFmtId="0" fontId="2" fillId="3" borderId="1" xfId="0" applyNumberFormat="1" applyFont="1" applyFill="1" applyBorder="1" applyAlignment="1">
      <alignment vertical="top"/>
    </xf>
    <xf numFmtId="0" fontId="0" fillId="0" borderId="1" xfId="0" applyNumberFormat="1" applyFont="1" applyFill="1" applyBorder="1" applyAlignment="1">
      <alignment vertical="top" wrapText="1"/>
    </xf>
    <xf numFmtId="0" fontId="0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60" customWidth="1"/>
    <col min="3" max="3" width="60" customWidth="1"/>
    <col min="4" max="4" width="18" customWidth="1"/>
    <col min="5" max="5" width="13" customWidth="1"/>
    <col min="6" max="6" width="18" customWidth="1"/>
    <col min="7" max="7" width="29" customWidth="1"/>
    <col min="8" max="8" width="27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4">
        <v>1</v>
      </c>
      <c r="B2" t="s" s="2">
        <v>8</v>
      </c>
      <c r="C2" t="s" s="2">
        <v>8</v>
      </c>
      <c r="D2" t="s" s="2">
        <v>9</v>
      </c>
      <c r="E2" s="4">
        <v>136</v>
      </c>
      <c r="F2" s="6">
        <v>46175</v>
      </c>
      <c r="G2" s="6">
        <v>46263</v>
      </c>
      <c r="H2" t="s" s="2">
        <v>10</v>
      </c>
    </row>
    <row r="3">
      <c r="A3" s="4">
        <v>2</v>
      </c>
      <c r="B3" t="s" s="2">
        <v>11</v>
      </c>
      <c r="C3" t="s" s="2">
        <v>11</v>
      </c>
      <c r="D3" t="s" s="2">
        <v>9</v>
      </c>
      <c r="E3" s="4">
        <v>307</v>
      </c>
      <c r="F3" s="6">
        <v>45989</v>
      </c>
      <c r="G3" s="6">
        <v>46276</v>
      </c>
      <c r="H3" t="s" s="2">
        <v>10</v>
      </c>
    </row>
    <row r="4">
      <c r="A4" s="4">
        <v>3</v>
      </c>
      <c r="B4" t="s" s="2">
        <v>12</v>
      </c>
      <c r="C4" t="s" s="2">
        <v>12</v>
      </c>
      <c r="D4" t="s" s="2">
        <v>13</v>
      </c>
      <c r="E4" s="4">
        <v>3103</v>
      </c>
      <c r="F4" s="6">
        <v>45975</v>
      </c>
      <c r="G4" s="6">
        <v>46262</v>
      </c>
      <c r="H4" t="s" s="2">
        <v>10</v>
      </c>
    </row>
    <row r="5">
      <c r="A5" s="4">
        <v>4</v>
      </c>
      <c r="B5" t="s" s="2">
        <v>14</v>
      </c>
      <c r="C5" t="s" s="2">
        <v>14</v>
      </c>
      <c r="D5" t="s" s="2">
        <v>13</v>
      </c>
      <c r="E5" s="4">
        <v>630</v>
      </c>
      <c r="F5" s="6">
        <v>45825</v>
      </c>
      <c r="G5" s="6">
        <v>46263</v>
      </c>
      <c r="H5" t="s" s="2">
        <v>10</v>
      </c>
    </row>
    <row r="6">
      <c r="A6" s="4">
        <v>5</v>
      </c>
      <c r="B6" t="s" s="2">
        <v>15</v>
      </c>
      <c r="C6" t="s" s="2">
        <v>15</v>
      </c>
      <c r="D6" t="s" s="2">
        <v>16</v>
      </c>
      <c r="E6" s="4">
        <v>490</v>
      </c>
      <c r="F6" s="6">
        <v>45989</v>
      </c>
      <c r="G6" s="6">
        <v>46263</v>
      </c>
      <c r="H6" t="s" s="2">
        <v>10</v>
      </c>
    </row>
    <row r="7">
      <c r="A7" s="4">
        <v>6</v>
      </c>
      <c r="B7" t="s" s="2">
        <v>17</v>
      </c>
      <c r="C7" t="s" s="2">
        <v>17</v>
      </c>
      <c r="D7" t="s" s="2">
        <v>16</v>
      </c>
      <c r="E7" s="4">
        <v>555</v>
      </c>
      <c r="F7" s="6">
        <v>46094</v>
      </c>
      <c r="G7" s="6">
        <v>46263</v>
      </c>
      <c r="H7" t="s" s="2">
        <v>10</v>
      </c>
    </row>
    <row r="8">
      <c r="A8" s="4">
        <v>7</v>
      </c>
      <c r="B8" t="s" s="2">
        <v>18</v>
      </c>
      <c r="C8" t="s" s="2">
        <v>18</v>
      </c>
      <c r="D8" t="s" s="2">
        <v>16</v>
      </c>
      <c r="E8" s="4">
        <v>207</v>
      </c>
      <c r="F8" s="6">
        <v>45383</v>
      </c>
      <c r="G8" s="6">
        <v>46263</v>
      </c>
      <c r="H8" t="s" s="2">
        <v>10</v>
      </c>
    </row>
    <row r="9">
      <c r="A9" s="4">
        <v>8</v>
      </c>
      <c r="B9" t="s" s="2">
        <v>19</v>
      </c>
      <c r="C9" t="s" s="2">
        <v>19</v>
      </c>
      <c r="D9" t="s" s="2">
        <v>20</v>
      </c>
      <c r="E9" s="4">
        <v>1641</v>
      </c>
      <c r="F9" s="6">
        <v>46071</v>
      </c>
      <c r="G9" s="6">
        <v>46263</v>
      </c>
      <c r="H9" t="s" s="2">
        <v>10</v>
      </c>
    </row>
    <row r="10">
      <c r="A10" s="4">
        <v>9</v>
      </c>
      <c r="B10" t="s" s="2">
        <v>21</v>
      </c>
      <c r="C10" t="s" s="2">
        <v>21</v>
      </c>
      <c r="D10" t="s" s="2">
        <v>20</v>
      </c>
      <c r="E10" s="4">
        <v>421</v>
      </c>
      <c r="F10" s="6">
        <v>46115</v>
      </c>
      <c r="G10" s="6">
        <v>46276</v>
      </c>
      <c r="H10" t="s" s="2">
        <v>10</v>
      </c>
    </row>
    <row r="11">
      <c r="A11" s="4">
        <v>10</v>
      </c>
      <c r="B11" t="s" s="2">
        <v>22</v>
      </c>
      <c r="C11" t="s" s="2">
        <v>22</v>
      </c>
      <c r="D11" t="s" s="2">
        <v>20</v>
      </c>
      <c r="E11" s="4">
        <v>182</v>
      </c>
      <c r="F11" s="6">
        <v>46014</v>
      </c>
      <c r="G11" s="6">
        <v>46276</v>
      </c>
      <c r="H11" t="s" s="2">
        <v>10</v>
      </c>
    </row>
    <row r="12">
      <c r="A12" s="4">
        <v>11</v>
      </c>
      <c r="B12" t="s" s="2">
        <v>23</v>
      </c>
      <c r="C12" t="s" s="2">
        <v>23</v>
      </c>
      <c r="D12" t="s" s="2">
        <v>20</v>
      </c>
      <c r="E12" s="4">
        <v>259</v>
      </c>
      <c r="F12" s="6">
        <v>46156</v>
      </c>
      <c r="G12" s="6">
        <v>46276</v>
      </c>
      <c r="H12" t="s" s="2">
        <v>10</v>
      </c>
    </row>
    <row r="13">
      <c r="A13" s="4">
        <v>12</v>
      </c>
      <c r="B13" t="s" s="2">
        <v>24</v>
      </c>
      <c r="C13" t="s" s="2">
        <v>24</v>
      </c>
      <c r="D13" t="s" s="2">
        <v>20</v>
      </c>
      <c r="E13" s="4">
        <v>277</v>
      </c>
      <c r="F13" s="6">
        <v>46017</v>
      </c>
      <c r="G13" s="6">
        <v>46263</v>
      </c>
      <c r="H13" t="s" s="2">
        <v>10</v>
      </c>
    </row>
    <row r="14">
      <c r="A14" s="4">
        <v>13</v>
      </c>
      <c r="B14" t="s" s="2">
        <v>25</v>
      </c>
      <c r="C14" t="s" s="2">
        <v>25</v>
      </c>
      <c r="D14" t="s" s="2">
        <v>20</v>
      </c>
      <c r="E14" s="4">
        <v>463</v>
      </c>
      <c r="F14" s="6">
        <v>45975</v>
      </c>
      <c r="G14" s="6">
        <v>46276</v>
      </c>
      <c r="H14" t="s" s="2">
        <v>10</v>
      </c>
    </row>
    <row r="15">
      <c r="A15" s="4">
        <v>14</v>
      </c>
      <c r="B15" t="s" s="2">
        <v>26</v>
      </c>
      <c r="C15" t="s" s="2">
        <v>26</v>
      </c>
      <c r="D15" t="s" s="2">
        <v>27</v>
      </c>
      <c r="E15" s="4">
        <v>153</v>
      </c>
      <c r="F15" s="6">
        <v>45975</v>
      </c>
      <c r="G15" s="6">
        <v>46276</v>
      </c>
      <c r="H15" t="s" s="2">
        <v>10</v>
      </c>
    </row>
    <row r="16">
      <c r="A16" s="4">
        <v>15</v>
      </c>
      <c r="B16" t="s" s="2">
        <v>28</v>
      </c>
      <c r="C16" t="s" s="2">
        <v>29</v>
      </c>
      <c r="D16" t="s" s="2">
        <v>27</v>
      </c>
      <c r="E16" s="4">
        <v>463</v>
      </c>
      <c r="F16" s="6">
        <v>45377</v>
      </c>
      <c r="G16" s="6">
        <v>46263</v>
      </c>
      <c r="H16" t="s" s="2">
        <v>10</v>
      </c>
    </row>
    <row r="17">
      <c r="A17" s="4">
        <v>16</v>
      </c>
      <c r="B17" t="s" s="2">
        <v>30</v>
      </c>
      <c r="C17" t="s" s="2">
        <v>30</v>
      </c>
      <c r="D17" t="s" s="2">
        <v>31</v>
      </c>
      <c r="E17" s="4">
        <v>421</v>
      </c>
      <c r="F17" s="6">
        <v>46121</v>
      </c>
      <c r="G17" s="6">
        <v>46262</v>
      </c>
      <c r="H17" t="s" s="2">
        <v>10</v>
      </c>
    </row>
    <row r="18">
      <c r="A18" s="4">
        <v>17</v>
      </c>
      <c r="B18" t="s" s="2">
        <v>32</v>
      </c>
      <c r="C18" t="s" s="2">
        <v>32</v>
      </c>
      <c r="D18" t="s" s="2">
        <v>31</v>
      </c>
      <c r="E18" s="4">
        <v>134</v>
      </c>
      <c r="F18" s="6">
        <v>46182</v>
      </c>
      <c r="G18" s="6">
        <v>46270</v>
      </c>
      <c r="H18" t="s" s="2">
        <v>10</v>
      </c>
    </row>
    <row r="19">
      <c r="A19" s="4">
        <v>18</v>
      </c>
      <c r="B19" t="s" s="2">
        <v>33</v>
      </c>
      <c r="C19" t="s" s="2">
        <v>34</v>
      </c>
      <c r="D19" t="s" s="2">
        <v>31</v>
      </c>
      <c r="E19" s="4">
        <v>220</v>
      </c>
      <c r="F19" s="6">
        <v>45383</v>
      </c>
      <c r="G19" s="6">
        <v>46270</v>
      </c>
      <c r="H19" t="s" s="2">
        <v>10</v>
      </c>
    </row>
    <row r="20">
      <c r="A20" s="4">
        <v>19</v>
      </c>
      <c r="B20" t="s" s="2">
        <v>35</v>
      </c>
      <c r="C20" t="s" s="2">
        <v>35</v>
      </c>
      <c r="D20" t="s" s="2">
        <v>31</v>
      </c>
      <c r="E20" s="4">
        <v>80</v>
      </c>
      <c r="F20" s="6">
        <v>44512</v>
      </c>
      <c r="G20" s="6">
        <v>46270</v>
      </c>
      <c r="H20" t="s" s="2">
        <v>10</v>
      </c>
    </row>
    <row r="21">
      <c r="A21" s="4">
        <v>20</v>
      </c>
      <c r="B21" t="s" s="2">
        <v>36</v>
      </c>
      <c r="C21" t="s" s="2">
        <v>37</v>
      </c>
      <c r="D21" t="s" s="2">
        <v>38</v>
      </c>
      <c r="E21" s="4">
        <v>103</v>
      </c>
      <c r="F21" s="6">
        <v>45975</v>
      </c>
      <c r="G21" s="6">
        <v>46270</v>
      </c>
      <c r="H21" t="s" s="2">
        <v>10</v>
      </c>
    </row>
    <row r="22">
      <c r="A22" s="4">
        <v>21</v>
      </c>
      <c r="B22" t="s" s="2">
        <v>39</v>
      </c>
      <c r="C22" t="s" s="2">
        <v>39</v>
      </c>
      <c r="D22" t="s" s="2">
        <v>38</v>
      </c>
      <c r="E22" s="4">
        <v>157</v>
      </c>
      <c r="F22" s="6">
        <v>45975</v>
      </c>
      <c r="G22" s="6">
        <v>46276</v>
      </c>
      <c r="H22" t="s" s="2">
        <v>10</v>
      </c>
    </row>
    <row r="23">
      <c r="A23" s="4">
        <v>22</v>
      </c>
      <c r="B23" t="s" s="2">
        <v>40</v>
      </c>
      <c r="C23" t="s" s="2">
        <v>40</v>
      </c>
      <c r="D23" t="s" s="2">
        <v>41</v>
      </c>
      <c r="E23" s="4">
        <v>1266</v>
      </c>
      <c r="F23" s="6">
        <v>46156</v>
      </c>
      <c r="G23" s="6">
        <v>46262</v>
      </c>
      <c r="H23" t="s" s="2">
        <v>10</v>
      </c>
    </row>
    <row r="24">
      <c r="A24" s="4">
        <v>23</v>
      </c>
      <c r="B24" t="s" s="2">
        <v>42</v>
      </c>
      <c r="C24" t="s" s="2">
        <v>42</v>
      </c>
      <c r="D24" t="s" s="2">
        <v>41</v>
      </c>
      <c r="E24" s="4">
        <v>177</v>
      </c>
      <c r="F24" s="6">
        <v>46037</v>
      </c>
      <c r="G24" s="6">
        <v>46276</v>
      </c>
      <c r="H24" t="s" s="2">
        <v>10</v>
      </c>
    </row>
    <row r="25">
      <c r="A25" s="4">
        <v>24</v>
      </c>
      <c r="B25" t="s" s="2">
        <v>43</v>
      </c>
      <c r="C25" t="s" s="2">
        <v>43</v>
      </c>
      <c r="D25" t="s" s="2">
        <v>44</v>
      </c>
      <c r="E25" s="4">
        <v>272</v>
      </c>
      <c r="F25" s="6">
        <v>45946</v>
      </c>
      <c r="G25" s="6">
        <v>46263</v>
      </c>
      <c r="H25" t="s" s="2">
        <v>10</v>
      </c>
    </row>
    <row r="26">
      <c r="A26" s="4">
        <v>25</v>
      </c>
      <c r="B26" t="s" s="12">
        <v>45</v>
      </c>
      <c r="C26" t="s" s="12">
        <v>45</v>
      </c>
      <c r="D26" t="s" s="2">
        <v>44</v>
      </c>
      <c r="E26" s="4">
        <v>64</v>
      </c>
      <c r="F26" s="6">
        <v>45975</v>
      </c>
      <c r="G26" s="6">
        <v>46276</v>
      </c>
      <c r="H26" t="s" s="2">
        <v>10</v>
      </c>
    </row>
    <row r="27">
      <c r="A27" s="4">
        <v>26</v>
      </c>
      <c r="B27" t="s" s="2">
        <v>46</v>
      </c>
      <c r="C27" t="s" s="2">
        <v>46</v>
      </c>
      <c r="D27" t="s" s="2">
        <v>44</v>
      </c>
      <c r="E27" s="4">
        <v>203</v>
      </c>
      <c r="F27" s="6">
        <v>45383</v>
      </c>
      <c r="G27" s="6">
        <v>46276</v>
      </c>
      <c r="H27" t="s" s="2">
        <v>10</v>
      </c>
    </row>
    <row r="28">
      <c r="A28" s="4">
        <v>27</v>
      </c>
      <c r="B28" t="s" s="2">
        <v>47</v>
      </c>
      <c r="C28" t="s" s="2">
        <v>47</v>
      </c>
      <c r="D28" t="s" s="2">
        <v>48</v>
      </c>
      <c r="E28" s="4">
        <v>733</v>
      </c>
      <c r="F28" s="6">
        <v>46037</v>
      </c>
      <c r="G28" s="6">
        <v>46276</v>
      </c>
      <c r="H28" t="s" s="2">
        <v>10</v>
      </c>
    </row>
    <row r="29">
      <c r="A29" s="4">
        <v>28</v>
      </c>
      <c r="B29" t="s" s="2">
        <v>49</v>
      </c>
      <c r="C29" t="s" s="2">
        <v>50</v>
      </c>
      <c r="D29" t="s" s="2">
        <v>48</v>
      </c>
      <c r="E29" s="4">
        <v>385</v>
      </c>
      <c r="F29" s="6">
        <v>46037</v>
      </c>
      <c r="G29" s="6">
        <v>46263</v>
      </c>
      <c r="H29" t="s" s="2">
        <v>10</v>
      </c>
    </row>
    <row r="30">
      <c r="A30" s="4">
        <v>29</v>
      </c>
      <c r="B30" t="s" s="2">
        <v>51</v>
      </c>
      <c r="C30" t="s" s="2">
        <v>51</v>
      </c>
      <c r="D30" t="s" s="2">
        <v>52</v>
      </c>
      <c r="E30" s="4">
        <v>215</v>
      </c>
      <c r="F30" s="6">
        <v>46002</v>
      </c>
      <c r="G30" s="6">
        <v>46262</v>
      </c>
      <c r="H30" t="s" s="2">
        <v>10</v>
      </c>
    </row>
    <row r="31">
      <c r="A31" s="4">
        <v>30</v>
      </c>
      <c r="B31" t="s" s="12">
        <v>53</v>
      </c>
      <c r="C31" t="s" s="12">
        <v>53</v>
      </c>
      <c r="D31" t="s" s="2">
        <v>52</v>
      </c>
      <c r="E31" s="4">
        <v>270</v>
      </c>
      <c r="F31" s="6">
        <v>46041</v>
      </c>
      <c r="G31" s="6">
        <v>46276</v>
      </c>
      <c r="H31" t="s" s="2">
        <v>10</v>
      </c>
    </row>
    <row r="32">
      <c r="A32" s="4">
        <v>31</v>
      </c>
      <c r="B32" t="s" s="2">
        <v>54</v>
      </c>
      <c r="C32" t="s" s="2">
        <v>54</v>
      </c>
      <c r="D32" t="s" s="2">
        <v>55</v>
      </c>
      <c r="E32" s="4">
        <v>201</v>
      </c>
      <c r="F32" s="6">
        <v>45975</v>
      </c>
      <c r="G32" s="6">
        <v>46276</v>
      </c>
      <c r="H32" t="s" s="2">
        <v>10</v>
      </c>
    </row>
    <row r="33">
      <c r="A33" s="4">
        <v>32</v>
      </c>
      <c r="B33" t="s" s="2">
        <v>56</v>
      </c>
      <c r="C33" t="s" s="2">
        <v>57</v>
      </c>
      <c r="D33" t="s" s="2">
        <v>58</v>
      </c>
      <c r="E33" s="4">
        <v>954</v>
      </c>
      <c r="F33" s="6">
        <v>45854</v>
      </c>
      <c r="G33" s="6">
        <v>46263</v>
      </c>
      <c r="H33" t="s" s="2">
        <v>10</v>
      </c>
    </row>
  </sheetData>
  <autoFilter ref="A1:H3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60" customWidth="1"/>
    <col min="3" max="3" width="60" customWidth="1"/>
    <col min="4" max="4" width="18" customWidth="1"/>
    <col min="5" max="5" width="13" customWidth="1"/>
    <col min="6" max="6" width="18" customWidth="1"/>
    <col min="7" max="7" width="29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4">
        <v>1</v>
      </c>
      <c r="B2" t="s" s="2">
        <v>8</v>
      </c>
      <c r="C2" t="s" s="2">
        <v>8</v>
      </c>
      <c r="D2" t="s" s="2">
        <v>9</v>
      </c>
      <c r="E2" s="4">
        <v>136</v>
      </c>
      <c r="F2" s="2"/>
      <c r="G2" s="6">
        <v>46263</v>
      </c>
    </row>
    <row r="3">
      <c r="A3" s="4">
        <v>2</v>
      </c>
      <c r="B3" t="s" s="2">
        <v>11</v>
      </c>
      <c r="C3" t="s" s="2">
        <v>11</v>
      </c>
      <c r="D3" t="s" s="2">
        <v>9</v>
      </c>
      <c r="E3" s="4">
        <v>307</v>
      </c>
      <c r="F3" s="2"/>
      <c r="G3" s="6">
        <v>46276</v>
      </c>
    </row>
    <row r="4">
      <c r="A4" s="4">
        <v>3</v>
      </c>
      <c r="B4" t="s" s="2">
        <v>12</v>
      </c>
      <c r="C4" t="s" s="2">
        <v>12</v>
      </c>
      <c r="D4" t="s" s="2">
        <v>13</v>
      </c>
      <c r="E4" s="4">
        <v>3103</v>
      </c>
      <c r="F4" s="2"/>
      <c r="G4" s="6">
        <v>46262</v>
      </c>
    </row>
    <row r="5">
      <c r="A5" s="4">
        <v>4</v>
      </c>
      <c r="B5" t="s" s="2">
        <v>14</v>
      </c>
      <c r="C5" t="s" s="2">
        <v>14</v>
      </c>
      <c r="D5" t="s" s="2">
        <v>13</v>
      </c>
      <c r="E5" s="4">
        <v>630</v>
      </c>
      <c r="F5" s="2"/>
      <c r="G5" s="6">
        <v>46263</v>
      </c>
    </row>
    <row r="6">
      <c r="A6" s="4">
        <v>5</v>
      </c>
      <c r="B6" t="s" s="2">
        <v>15</v>
      </c>
      <c r="C6" t="s" s="2">
        <v>15</v>
      </c>
      <c r="D6" t="s" s="2">
        <v>16</v>
      </c>
      <c r="E6" s="4">
        <v>490</v>
      </c>
      <c r="F6" s="2"/>
      <c r="G6" s="6">
        <v>46263</v>
      </c>
    </row>
    <row r="7">
      <c r="A7" s="4">
        <v>6</v>
      </c>
      <c r="B7" t="s" s="2">
        <v>17</v>
      </c>
      <c r="C7" t="s" s="2">
        <v>17</v>
      </c>
      <c r="D7" t="s" s="2">
        <v>16</v>
      </c>
      <c r="E7" s="4">
        <v>555</v>
      </c>
      <c r="F7" s="2"/>
      <c r="G7" s="6">
        <v>46263</v>
      </c>
    </row>
    <row r="8">
      <c r="A8" s="4">
        <v>7</v>
      </c>
      <c r="B8" t="s" s="2">
        <v>18</v>
      </c>
      <c r="C8" t="s" s="2">
        <v>18</v>
      </c>
      <c r="D8" t="s" s="2">
        <v>16</v>
      </c>
      <c r="E8" s="4">
        <v>207</v>
      </c>
      <c r="F8" s="2"/>
      <c r="G8" s="6">
        <v>46263</v>
      </c>
    </row>
    <row r="9">
      <c r="A9" s="4">
        <v>8</v>
      </c>
      <c r="B9" t="s" s="2">
        <v>19</v>
      </c>
      <c r="C9" t="s" s="2">
        <v>19</v>
      </c>
      <c r="D9" t="s" s="2">
        <v>20</v>
      </c>
      <c r="E9" s="4">
        <v>1641</v>
      </c>
      <c r="F9" s="2"/>
      <c r="G9" s="6">
        <v>46263</v>
      </c>
    </row>
    <row r="10">
      <c r="A10" s="4">
        <v>9</v>
      </c>
      <c r="B10" t="s" s="2">
        <v>21</v>
      </c>
      <c r="C10" t="s" s="2">
        <v>21</v>
      </c>
      <c r="D10" t="s" s="2">
        <v>20</v>
      </c>
      <c r="E10" s="4">
        <v>421</v>
      </c>
      <c r="F10" s="2"/>
      <c r="G10" s="6">
        <v>46276</v>
      </c>
    </row>
    <row r="11">
      <c r="A11" s="4">
        <v>10</v>
      </c>
      <c r="B11" t="s" s="2">
        <v>22</v>
      </c>
      <c r="C11" t="s" s="2">
        <v>22</v>
      </c>
      <c r="D11" t="s" s="2">
        <v>20</v>
      </c>
      <c r="E11" s="4">
        <v>182</v>
      </c>
      <c r="F11" s="2"/>
      <c r="G11" s="6">
        <v>46276</v>
      </c>
    </row>
    <row r="12">
      <c r="A12" s="4">
        <v>11</v>
      </c>
      <c r="B12" t="s" s="2">
        <v>23</v>
      </c>
      <c r="C12" t="s" s="2">
        <v>23</v>
      </c>
      <c r="D12" t="s" s="2">
        <v>20</v>
      </c>
      <c r="E12" s="4">
        <v>259</v>
      </c>
      <c r="F12" s="2"/>
      <c r="G12" s="6">
        <v>46276</v>
      </c>
    </row>
    <row r="13">
      <c r="A13" s="4">
        <v>12</v>
      </c>
      <c r="B13" t="s" s="2">
        <v>24</v>
      </c>
      <c r="C13" t="s" s="2">
        <v>24</v>
      </c>
      <c r="D13" t="s" s="2">
        <v>20</v>
      </c>
      <c r="E13" s="4">
        <v>277</v>
      </c>
      <c r="F13" s="2"/>
      <c r="G13" s="6">
        <v>46263</v>
      </c>
    </row>
    <row r="14">
      <c r="A14" s="4">
        <v>13</v>
      </c>
      <c r="B14" t="s" s="2">
        <v>25</v>
      </c>
      <c r="C14" t="s" s="2">
        <v>25</v>
      </c>
      <c r="D14" t="s" s="2">
        <v>20</v>
      </c>
      <c r="E14" s="4">
        <v>463</v>
      </c>
      <c r="F14" s="2"/>
      <c r="G14" s="6">
        <v>46276</v>
      </c>
    </row>
    <row r="15">
      <c r="A15" s="4">
        <v>14</v>
      </c>
      <c r="B15" t="s" s="2">
        <v>26</v>
      </c>
      <c r="C15" t="s" s="2">
        <v>26</v>
      </c>
      <c r="D15" t="s" s="2">
        <v>27</v>
      </c>
      <c r="E15" s="4">
        <v>153</v>
      </c>
      <c r="F15" s="2"/>
      <c r="G15" s="6">
        <v>46276</v>
      </c>
    </row>
    <row r="16">
      <c r="A16" s="4">
        <v>15</v>
      </c>
      <c r="B16" t="s" s="2">
        <v>28</v>
      </c>
      <c r="C16" t="s" s="2">
        <v>29</v>
      </c>
      <c r="D16" t="s" s="2">
        <v>27</v>
      </c>
      <c r="E16" s="4">
        <v>463</v>
      </c>
      <c r="F16" s="2"/>
      <c r="G16" s="6">
        <v>46263</v>
      </c>
    </row>
    <row r="17">
      <c r="A17" s="4">
        <v>16</v>
      </c>
      <c r="B17" t="s" s="2">
        <v>30</v>
      </c>
      <c r="C17" t="s" s="2">
        <v>30</v>
      </c>
      <c r="D17" t="s" s="2">
        <v>31</v>
      </c>
      <c r="E17" s="4">
        <v>421</v>
      </c>
      <c r="F17" s="6">
        <v>46121</v>
      </c>
      <c r="G17" s="6">
        <v>46262</v>
      </c>
    </row>
    <row r="18">
      <c r="A18" s="4">
        <v>17</v>
      </c>
      <c r="B18" t="s" s="2">
        <v>32</v>
      </c>
      <c r="C18" t="s" s="2">
        <v>32</v>
      </c>
      <c r="D18" t="s" s="2">
        <v>31</v>
      </c>
      <c r="E18" s="4">
        <v>134</v>
      </c>
      <c r="F18" s="2"/>
      <c r="G18" s="6">
        <v>46270</v>
      </c>
    </row>
    <row r="19">
      <c r="A19" s="4">
        <v>18</v>
      </c>
      <c r="B19" t="s" s="2">
        <v>33</v>
      </c>
      <c r="C19" t="s" s="2">
        <v>34</v>
      </c>
      <c r="D19" t="s" s="2">
        <v>31</v>
      </c>
      <c r="E19" s="4">
        <v>220</v>
      </c>
      <c r="F19" s="2"/>
      <c r="G19" s="6">
        <v>46270</v>
      </c>
    </row>
    <row r="20">
      <c r="A20" s="4">
        <v>19</v>
      </c>
      <c r="B20" t="s" s="2">
        <v>35</v>
      </c>
      <c r="C20" t="s" s="2">
        <v>35</v>
      </c>
      <c r="D20" t="s" s="2">
        <v>31</v>
      </c>
      <c r="E20" s="4">
        <v>80</v>
      </c>
      <c r="F20" s="2"/>
      <c r="G20" s="6">
        <v>46270</v>
      </c>
    </row>
    <row r="21">
      <c r="A21" s="4">
        <v>20</v>
      </c>
      <c r="B21" t="s" s="2">
        <v>36</v>
      </c>
      <c r="C21" t="s" s="2">
        <v>37</v>
      </c>
      <c r="D21" t="s" s="2">
        <v>38</v>
      </c>
      <c r="E21" s="4">
        <v>103</v>
      </c>
      <c r="F21" s="2"/>
      <c r="G21" s="6">
        <v>46270</v>
      </c>
    </row>
    <row r="22">
      <c r="A22" s="4">
        <v>21</v>
      </c>
      <c r="B22" t="s" s="2">
        <v>39</v>
      </c>
      <c r="C22" t="s" s="2">
        <v>39</v>
      </c>
      <c r="D22" t="s" s="2">
        <v>38</v>
      </c>
      <c r="E22" s="4">
        <v>157</v>
      </c>
      <c r="F22" s="2"/>
      <c r="G22" s="6">
        <v>46276</v>
      </c>
    </row>
    <row r="23">
      <c r="A23" s="4">
        <v>22</v>
      </c>
      <c r="B23" t="s" s="2">
        <v>40</v>
      </c>
      <c r="C23" t="s" s="2">
        <v>40</v>
      </c>
      <c r="D23" t="s" s="2">
        <v>41</v>
      </c>
      <c r="E23" s="4">
        <v>1266</v>
      </c>
      <c r="F23" s="2"/>
      <c r="G23" s="6">
        <v>46262</v>
      </c>
    </row>
    <row r="24">
      <c r="A24" s="4">
        <v>23</v>
      </c>
      <c r="B24" t="s" s="2">
        <v>42</v>
      </c>
      <c r="C24" t="s" s="2">
        <v>42</v>
      </c>
      <c r="D24" t="s" s="2">
        <v>41</v>
      </c>
      <c r="E24" s="4">
        <v>177</v>
      </c>
      <c r="F24" s="2"/>
      <c r="G24" s="6">
        <v>46276</v>
      </c>
    </row>
    <row r="25">
      <c r="A25" s="4">
        <v>24</v>
      </c>
      <c r="B25" t="s" s="2">
        <v>43</v>
      </c>
      <c r="C25" t="s" s="2">
        <v>43</v>
      </c>
      <c r="D25" t="s" s="2">
        <v>44</v>
      </c>
      <c r="E25" s="4">
        <v>272</v>
      </c>
      <c r="F25" s="2"/>
      <c r="G25" s="6">
        <v>46263</v>
      </c>
    </row>
    <row r="26">
      <c r="A26" s="4">
        <v>25</v>
      </c>
      <c r="B26" t="s" s="12">
        <v>45</v>
      </c>
      <c r="C26" t="s" s="12">
        <v>45</v>
      </c>
      <c r="D26" t="s" s="2">
        <v>44</v>
      </c>
      <c r="E26" s="4">
        <v>64</v>
      </c>
      <c r="F26" s="2"/>
      <c r="G26" s="6">
        <v>46276</v>
      </c>
    </row>
    <row r="27">
      <c r="A27" s="4">
        <v>26</v>
      </c>
      <c r="B27" t="s" s="2">
        <v>46</v>
      </c>
      <c r="C27" t="s" s="2">
        <v>46</v>
      </c>
      <c r="D27" t="s" s="2">
        <v>44</v>
      </c>
      <c r="E27" s="4">
        <v>203</v>
      </c>
      <c r="F27" s="2"/>
      <c r="G27" s="6">
        <v>46276</v>
      </c>
    </row>
    <row r="28">
      <c r="A28" s="4">
        <v>27</v>
      </c>
      <c r="B28" t="s" s="2">
        <v>47</v>
      </c>
      <c r="C28" t="s" s="2">
        <v>47</v>
      </c>
      <c r="D28" t="s" s="2">
        <v>48</v>
      </c>
      <c r="E28" s="4">
        <v>733</v>
      </c>
      <c r="F28" s="2"/>
      <c r="G28" s="6">
        <v>46276</v>
      </c>
    </row>
    <row r="29">
      <c r="A29" s="4">
        <v>28</v>
      </c>
      <c r="B29" t="s" s="2">
        <v>49</v>
      </c>
      <c r="C29" t="s" s="2">
        <v>50</v>
      </c>
      <c r="D29" t="s" s="2">
        <v>48</v>
      </c>
      <c r="E29" s="4">
        <v>385</v>
      </c>
      <c r="F29" s="2"/>
      <c r="G29" s="6">
        <v>46263</v>
      </c>
    </row>
    <row r="30">
      <c r="A30" s="4">
        <v>29</v>
      </c>
      <c r="B30" t="s" s="2">
        <v>51</v>
      </c>
      <c r="C30" t="s" s="2">
        <v>51</v>
      </c>
      <c r="D30" t="s" s="2">
        <v>52</v>
      </c>
      <c r="E30" s="4">
        <v>215</v>
      </c>
      <c r="F30" s="2"/>
      <c r="G30" s="6">
        <v>46262</v>
      </c>
    </row>
    <row r="31">
      <c r="A31" s="4">
        <v>30</v>
      </c>
      <c r="B31" t="s" s="12">
        <v>53</v>
      </c>
      <c r="C31" t="s" s="12">
        <v>53</v>
      </c>
      <c r="D31" t="s" s="2">
        <v>52</v>
      </c>
      <c r="E31" s="4">
        <v>270</v>
      </c>
      <c r="F31" s="2"/>
      <c r="G31" s="6">
        <v>46276</v>
      </c>
    </row>
    <row r="32">
      <c r="A32" s="4">
        <v>31</v>
      </c>
      <c r="B32" t="s" s="2">
        <v>54</v>
      </c>
      <c r="C32" t="s" s="2">
        <v>54</v>
      </c>
      <c r="D32" t="s" s="2">
        <v>55</v>
      </c>
      <c r="E32" s="4">
        <v>201</v>
      </c>
      <c r="F32" s="2"/>
      <c r="G32" s="6">
        <v>46276</v>
      </c>
    </row>
    <row r="33">
      <c r="A33" s="4">
        <v>32</v>
      </c>
      <c r="B33" t="s" s="2">
        <v>56</v>
      </c>
      <c r="C33" t="s" s="2">
        <v>57</v>
      </c>
      <c r="D33" t="s" s="2">
        <v>58</v>
      </c>
      <c r="E33" s="4">
        <v>954</v>
      </c>
      <c r="F33" s="2"/>
      <c r="G33" s="6">
        <v>46263</v>
      </c>
    </row>
  </sheetData>
  <autoFilter ref="A1:G3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pane ySplit="1" topLeftCell="A2" activePane="bottomLeft" state="frozen"/>
    </sheetView>
  </sheetViews>
  <sheetFormatPr defaultRowHeight="15"/>
  <cols>
    <col min="1" max="1" width="21" customWidth="1"/>
    <col min="2" max="2" width="21" customWidth="1"/>
    <col min="3" max="3" width="6" customWidth="1"/>
    <col min="4" max="4" width="60" customWidth="1"/>
    <col min="5" max="5" width="20" customWidth="1"/>
    <col min="6" max="6" width="17" customWidth="1"/>
    <col min="7" max="7" width="22" customWidth="1"/>
    <col min="8" max="8" width="60" customWidth="1"/>
    <col min="9" max="9" width="58" customWidth="1"/>
  </cols>
  <sheetData>
    <row r="1">
      <c r="A1" t="s" s="1">
        <v>59</v>
      </c>
      <c r="B1" t="s" s="1">
        <v>60</v>
      </c>
      <c r="C1" t="s" s="1">
        <v>0</v>
      </c>
      <c r="D1" t="s" s="1">
        <v>61</v>
      </c>
      <c r="E1" t="s" s="1">
        <v>62</v>
      </c>
      <c r="F1" t="s" s="1">
        <v>63</v>
      </c>
      <c r="G1" t="s" s="1">
        <v>64</v>
      </c>
      <c r="H1" t="s" s="1">
        <v>65</v>
      </c>
      <c r="I1" t="s" s="1">
        <v>66</v>
      </c>
    </row>
    <row r="2">
      <c r="A2" s="8">
        <v>46288.979166666664</v>
      </c>
      <c r="B2" t="s" s="2">
        <v>67</v>
      </c>
      <c r="C2" s="4">
        <v>1</v>
      </c>
      <c r="D2" t="s" s="2">
        <v>8</v>
      </c>
      <c r="E2" t="s" s="2">
        <v>68</v>
      </c>
      <c r="F2" s="6">
        <v>46175</v>
      </c>
      <c r="G2" t="s" s="2">
        <v>69</v>
      </c>
      <c r="H2" t="s" s="12">
        <v>70</v>
      </c>
      <c r="I2" t="str" s="10">
        <f>HYPERLINK("https://www.diputados.gob.mx/LeyesBiblio/ref/cpeum.htm")</f>
        <v>https://www.diputados.gob.mx/LeyesBiblio/ref/cpeum.htm</v>
      </c>
    </row>
    <row r="3">
      <c r="A3" s="8">
        <v>46288.979166666664</v>
      </c>
      <c r="B3" t="s" s="2">
        <v>67</v>
      </c>
      <c r="C3" s="4">
        <v>2</v>
      </c>
      <c r="D3" t="s" s="2">
        <v>11</v>
      </c>
      <c r="E3" t="s" s="2">
        <v>68</v>
      </c>
      <c r="F3" s="6">
        <v>45989</v>
      </c>
      <c r="G3" t="s" s="2">
        <v>69</v>
      </c>
      <c r="H3" t="s" s="2">
        <v>71</v>
      </c>
      <c r="I3" t="str" s="10">
        <f>HYPERLINK("https://www.diputados.gob.mx/LeyesBiblio/ref/lopjf.htm")</f>
        <v>https://www.diputados.gob.mx/LeyesBiblio/ref/lopjf.htm</v>
      </c>
    </row>
    <row r="4">
      <c r="A4" s="8">
        <v>46288.979166666664</v>
      </c>
      <c r="B4" t="s" s="2">
        <v>67</v>
      </c>
      <c r="C4" s="4">
        <v>3</v>
      </c>
      <c r="D4" t="s" s="2">
        <v>12</v>
      </c>
      <c r="E4" t="s" s="2">
        <v>68</v>
      </c>
      <c r="F4" s="6">
        <v>45975</v>
      </c>
      <c r="G4" t="s" s="2">
        <v>69</v>
      </c>
      <c r="H4" t="s" s="2">
        <v>71</v>
      </c>
      <c r="I4" t="str" s="10">
        <f>HYPERLINK("https://www.diputados.gob.mx/LeyesBiblio/ref/ccf.htm")</f>
        <v>https://www.diputados.gob.mx/LeyesBiblio/ref/ccf.htm</v>
      </c>
    </row>
    <row r="5">
      <c r="A5" s="8">
        <v>46288.979166666664</v>
      </c>
      <c r="B5" t="s" s="2">
        <v>67</v>
      </c>
      <c r="C5" s="4">
        <v>4</v>
      </c>
      <c r="D5" t="s" s="2">
        <v>14</v>
      </c>
      <c r="E5" t="s" s="2">
        <v>68</v>
      </c>
      <c r="F5" s="6">
        <v>45825</v>
      </c>
      <c r="G5" t="s" s="2">
        <v>69</v>
      </c>
      <c r="H5" t="s" s="12">
        <v>72</v>
      </c>
      <c r="I5" t="str" s="10">
        <f>HYPERLINK("https://www.diputados.gob.mx/LeyesBiblio/ref/cfpc.htm")</f>
        <v>https://www.diputados.gob.mx/LeyesBiblio/ref/cfpc.htm</v>
      </c>
    </row>
    <row r="6">
      <c r="A6" s="8">
        <v>46288.979166666664</v>
      </c>
      <c r="B6" t="s" s="2">
        <v>67</v>
      </c>
      <c r="C6" s="4">
        <v>5</v>
      </c>
      <c r="D6" t="s" s="2">
        <v>15</v>
      </c>
      <c r="E6" t="s" s="2">
        <v>68</v>
      </c>
      <c r="F6" s="6">
        <v>45989</v>
      </c>
      <c r="G6" t="s" s="2">
        <v>69</v>
      </c>
      <c r="H6" t="s" s="2">
        <v>71</v>
      </c>
      <c r="I6" t="str" s="10">
        <f>HYPERLINK("https://www.diputados.gob.mx/LeyesBiblio/ref/cnpp.htm")</f>
        <v>https://www.diputados.gob.mx/LeyesBiblio/ref/cnpp.htm</v>
      </c>
    </row>
    <row r="7">
      <c r="A7" s="8">
        <v>46288.979166666664</v>
      </c>
      <c r="B7" t="s" s="2">
        <v>67</v>
      </c>
      <c r="C7" s="4">
        <v>6</v>
      </c>
      <c r="D7" t="s" s="2">
        <v>17</v>
      </c>
      <c r="E7" t="s" s="2">
        <v>68</v>
      </c>
      <c r="F7" s="6">
        <v>46094</v>
      </c>
      <c r="G7" t="s" s="2">
        <v>69</v>
      </c>
      <c r="H7" t="s" s="12">
        <v>73</v>
      </c>
      <c r="I7" t="str" s="10">
        <f>HYPERLINK("https://www.diputados.gob.mx/LeyesBiblio/ref/cpf.htm")</f>
        <v>https://www.diputados.gob.mx/LeyesBiblio/ref/cpf.htm</v>
      </c>
    </row>
    <row r="8">
      <c r="A8" s="8">
        <v>46288.979166666664</v>
      </c>
      <c r="B8" t="s" s="2">
        <v>67</v>
      </c>
      <c r="C8" s="4">
        <v>7</v>
      </c>
      <c r="D8" t="s" s="2">
        <v>18</v>
      </c>
      <c r="E8" t="s" s="2">
        <v>68</v>
      </c>
      <c r="F8" s="6">
        <v>45383</v>
      </c>
      <c r="G8" t="s" s="2">
        <v>69</v>
      </c>
      <c r="H8" t="s" s="2">
        <v>71</v>
      </c>
      <c r="I8" t="str" s="10">
        <f>HYPERLINK("https://www.diputados.gob.mx/LeyesBiblio/ref/lnep.htm")</f>
        <v>https://www.diputados.gob.mx/LeyesBiblio/ref/lnep.htm</v>
      </c>
    </row>
    <row r="9">
      <c r="A9" s="8">
        <v>46288.979166666664</v>
      </c>
      <c r="B9" t="s" s="2">
        <v>67</v>
      </c>
      <c r="C9" s="4">
        <v>8</v>
      </c>
      <c r="D9" t="s" s="2">
        <v>19</v>
      </c>
      <c r="E9" t="s" s="2">
        <v>68</v>
      </c>
      <c r="F9" s="6">
        <v>46071</v>
      </c>
      <c r="G9" t="s" s="2">
        <v>69</v>
      </c>
      <c r="H9" t="s" s="2">
        <v>71</v>
      </c>
      <c r="I9" t="str" s="10">
        <f>HYPERLINK("https://www.diputados.gob.mx/LeyesBiblio/ref/ccom.htm")</f>
        <v>https://www.diputados.gob.mx/LeyesBiblio/ref/ccom.htm</v>
      </c>
    </row>
    <row r="10">
      <c r="A10" s="8">
        <v>46288.979166666664</v>
      </c>
      <c r="B10" t="s" s="2">
        <v>67</v>
      </c>
      <c r="C10" s="4">
        <v>9</v>
      </c>
      <c r="D10" t="s" s="2">
        <v>21</v>
      </c>
      <c r="E10" t="s" s="2">
        <v>68</v>
      </c>
      <c r="F10" s="6">
        <v>46115</v>
      </c>
      <c r="G10" t="s" s="2">
        <v>69</v>
      </c>
      <c r="H10" t="s" s="12">
        <v>73</v>
      </c>
      <c r="I10" t="str" s="10">
        <f>HYPERLINK("https://www.diputados.gob.mx/LeyesBiblio/ref/lfppi.htm")</f>
        <v>https://www.diputados.gob.mx/LeyesBiblio/ref/lfppi.htm</v>
      </c>
    </row>
    <row r="11">
      <c r="A11" s="8">
        <v>46288.979166666664</v>
      </c>
      <c r="B11" t="s" s="2">
        <v>67</v>
      </c>
      <c r="C11" s="4">
        <v>10</v>
      </c>
      <c r="D11" t="s" s="2">
        <v>22</v>
      </c>
      <c r="E11" t="s" s="2">
        <v>68</v>
      </c>
      <c r="F11" s="6">
        <v>46014</v>
      </c>
      <c r="G11" t="s" s="2">
        <v>69</v>
      </c>
      <c r="H11" t="s" s="2">
        <v>71</v>
      </c>
      <c r="I11" t="str" s="10">
        <f>HYPERLINK("https://www.diputados.gob.mx/LeyesBiblio/ref/lfpc.htm")</f>
        <v>https://www.diputados.gob.mx/LeyesBiblio/ref/lfpc.htm</v>
      </c>
    </row>
    <row r="12">
      <c r="A12" s="8">
        <v>46288.979166666664</v>
      </c>
      <c r="B12" t="s" s="2">
        <v>67</v>
      </c>
      <c r="C12" s="4">
        <v>11</v>
      </c>
      <c r="D12" t="s" s="2">
        <v>23</v>
      </c>
      <c r="E12" t="s" s="2">
        <v>68</v>
      </c>
      <c r="F12" s="6">
        <v>46156</v>
      </c>
      <c r="G12" t="s" s="2">
        <v>69</v>
      </c>
      <c r="H12" t="s" s="12">
        <v>73</v>
      </c>
      <c r="I12" t="str" s="10">
        <f>HYPERLINK("https://www.diputados.gob.mx/LeyesBiblio/ref/lfda.htm")</f>
        <v>https://www.diputados.gob.mx/LeyesBiblio/ref/lfda.htm</v>
      </c>
    </row>
    <row r="13">
      <c r="A13" s="8">
        <v>46288.979166666664</v>
      </c>
      <c r="B13" t="s" s="2">
        <v>67</v>
      </c>
      <c r="C13" s="4">
        <v>12</v>
      </c>
      <c r="D13" t="s" s="2">
        <v>24</v>
      </c>
      <c r="E13" t="s" s="2">
        <v>68</v>
      </c>
      <c r="F13" s="6">
        <v>46017</v>
      </c>
      <c r="G13" t="s" s="2">
        <v>69</v>
      </c>
      <c r="H13" t="s" s="2">
        <v>71</v>
      </c>
      <c r="I13" t="str" s="10">
        <f>HYPERLINK("https://www.diputados.gob.mx/LeyesBiblio/ref/lgsm.htm")</f>
        <v>https://www.diputados.gob.mx/LeyesBiblio/ref/lgsm.htm</v>
      </c>
    </row>
    <row r="14">
      <c r="A14" s="8">
        <v>46288.979166666664</v>
      </c>
      <c r="B14" t="s" s="2">
        <v>67</v>
      </c>
      <c r="C14" s="4">
        <v>13</v>
      </c>
      <c r="D14" t="s" s="2">
        <v>25</v>
      </c>
      <c r="E14" t="s" s="2">
        <v>68</v>
      </c>
      <c r="F14" s="6">
        <v>45975</v>
      </c>
      <c r="G14" t="s" s="2">
        <v>69</v>
      </c>
      <c r="H14" t="s" s="2">
        <v>71</v>
      </c>
      <c r="I14" t="str" s="10">
        <f>HYPERLINK("https://www.diputados.gob.mx/LeyesBiblio/ref/lmv.htm")</f>
        <v>https://www.diputados.gob.mx/LeyesBiblio/ref/lmv.htm</v>
      </c>
    </row>
    <row r="15">
      <c r="A15" s="8">
        <v>46288.979166666664</v>
      </c>
      <c r="B15" t="s" s="2">
        <v>67</v>
      </c>
      <c r="C15" s="4">
        <v>14</v>
      </c>
      <c r="D15" t="s" s="2">
        <v>26</v>
      </c>
      <c r="E15" t="s" s="2">
        <v>68</v>
      </c>
      <c r="F15" s="6">
        <v>45975</v>
      </c>
      <c r="G15" t="s" s="2">
        <v>69</v>
      </c>
      <c r="H15" t="s" s="2">
        <v>71</v>
      </c>
      <c r="I15" t="str" s="10">
        <f>HYPERLINK("https://www.diputados.gob.mx/LeyesBiblio/ref/lfce.htm")</f>
        <v>https://www.diputados.gob.mx/LeyesBiblio/ref/lfce.htm</v>
      </c>
    </row>
    <row r="16">
      <c r="A16" s="8">
        <v>46288.979166666664</v>
      </c>
      <c r="B16" t="s" s="2">
        <v>67</v>
      </c>
      <c r="C16" s="4">
        <v>15</v>
      </c>
      <c r="D16" t="s" s="2">
        <v>29</v>
      </c>
      <c r="E16" t="s" s="2">
        <v>68</v>
      </c>
      <c r="F16" s="6">
        <v>45377</v>
      </c>
      <c r="G16" t="s" s="2">
        <v>69</v>
      </c>
      <c r="H16" t="s" s="2">
        <v>71</v>
      </c>
      <c r="I16" t="str" s="10">
        <f>HYPERLINK("https://www.diputados.gob.mx/LeyesBiblio/ref/lgtoc.htm")</f>
        <v>https://www.diputados.gob.mx/LeyesBiblio/ref/lgtoc.htm</v>
      </c>
    </row>
    <row r="17">
      <c r="A17" s="8">
        <v>46288.979166666664</v>
      </c>
      <c r="B17" t="s" s="2">
        <v>67</v>
      </c>
      <c r="C17" s="4">
        <v>17</v>
      </c>
      <c r="D17" t="s" s="2">
        <v>32</v>
      </c>
      <c r="E17" t="s" s="2">
        <v>68</v>
      </c>
      <c r="F17" s="6">
        <v>46182</v>
      </c>
      <c r="G17" t="s" s="2">
        <v>69</v>
      </c>
      <c r="H17" t="s" s="12">
        <v>73</v>
      </c>
      <c r="I17" t="str" s="10">
        <f>HYPERLINK("https://www.diputados.gob.mx/LeyesBiblio/ref/lfpca.htm")</f>
        <v>https://www.diputados.gob.mx/LeyesBiblio/ref/lfpca.htm</v>
      </c>
    </row>
    <row r="18">
      <c r="A18" s="8">
        <v>46288.979166666664</v>
      </c>
      <c r="B18" t="s" s="2">
        <v>67</v>
      </c>
      <c r="C18" s="4">
        <v>18</v>
      </c>
      <c r="D18" t="s" s="2">
        <v>34</v>
      </c>
      <c r="E18" t="s" s="2">
        <v>68</v>
      </c>
      <c r="F18" s="6">
        <v>45383</v>
      </c>
      <c r="G18" t="s" s="2">
        <v>69</v>
      </c>
      <c r="H18" t="s" s="2">
        <v>71</v>
      </c>
      <c r="I18" t="str" s="10">
        <f>HYPERLINK("https://www.diputados.gob.mx/LeyesBiblio/ref/lisr.htm")</f>
        <v>https://www.diputados.gob.mx/LeyesBiblio/ref/lisr.htm</v>
      </c>
    </row>
    <row r="19">
      <c r="A19" s="8">
        <v>46288.979166666664</v>
      </c>
      <c r="B19" t="s" s="2">
        <v>67</v>
      </c>
      <c r="C19" s="4">
        <v>19</v>
      </c>
      <c r="D19" t="s" s="2">
        <v>35</v>
      </c>
      <c r="E19" t="s" s="2">
        <v>68</v>
      </c>
      <c r="F19" s="6">
        <v>44512</v>
      </c>
      <c r="G19" t="s" s="2">
        <v>69</v>
      </c>
      <c r="H19" t="s" s="2">
        <v>71</v>
      </c>
      <c r="I19" t="str" s="10">
        <f>HYPERLINK("https://www.diputados.gob.mx/LeyesBiblio/ref/liva.htm")</f>
        <v>https://www.diputados.gob.mx/LeyesBiblio/ref/liva.htm</v>
      </c>
    </row>
    <row r="20">
      <c r="A20" s="8">
        <v>46288.979166666664</v>
      </c>
      <c r="B20" t="s" s="2">
        <v>67</v>
      </c>
      <c r="C20" s="4">
        <v>20</v>
      </c>
      <c r="D20" t="s" s="2">
        <v>37</v>
      </c>
      <c r="E20" t="s" s="2">
        <v>68</v>
      </c>
      <c r="F20" s="6">
        <v>45975</v>
      </c>
      <c r="G20" t="s" s="2">
        <v>69</v>
      </c>
      <c r="H20" t="s" s="2">
        <v>71</v>
      </c>
      <c r="I20" t="str" s="10">
        <f>HYPERLINK("https://www.diputados.gob.mx/LeyesBiblio/ref/lfpa.htm")</f>
        <v>https://www.diputados.gob.mx/LeyesBiblio/ref/lfpa.htm</v>
      </c>
    </row>
    <row r="21">
      <c r="A21" s="8">
        <v>46288.979166666664</v>
      </c>
      <c r="B21" t="s" s="2">
        <v>67</v>
      </c>
      <c r="C21" s="4">
        <v>21</v>
      </c>
      <c r="D21" t="s" s="2">
        <v>39</v>
      </c>
      <c r="E21" t="s" s="2">
        <v>68</v>
      </c>
      <c r="F21" s="6">
        <v>45975</v>
      </c>
      <c r="G21" t="s" s="2">
        <v>69</v>
      </c>
      <c r="H21" t="s" s="2">
        <v>71</v>
      </c>
      <c r="I21" t="str" s="10">
        <f>HYPERLINK("https://www.diputados.gob.mx/LeyesBiblio/ref/lgbn.htm")</f>
        <v>https://www.diputados.gob.mx/LeyesBiblio/ref/lgbn.htm</v>
      </c>
    </row>
    <row r="22">
      <c r="A22" s="8">
        <v>46288.979166666664</v>
      </c>
      <c r="B22" t="s" s="2">
        <v>67</v>
      </c>
      <c r="C22" s="4">
        <v>22</v>
      </c>
      <c r="D22" t="s" s="2">
        <v>40</v>
      </c>
      <c r="E22" t="s" s="2">
        <v>68</v>
      </c>
      <c r="F22" s="6">
        <v>46156</v>
      </c>
      <c r="G22" t="s" s="2">
        <v>69</v>
      </c>
      <c r="H22" t="s" s="12">
        <v>73</v>
      </c>
      <c r="I22" t="str" s="10">
        <f>HYPERLINK("https://www.diputados.gob.mx/LeyesBiblio/ref/lft.htm")</f>
        <v>https://www.diputados.gob.mx/LeyesBiblio/ref/lft.htm</v>
      </c>
    </row>
    <row r="23">
      <c r="A23" s="8">
        <v>46288.979166666664</v>
      </c>
      <c r="B23" t="s" s="2">
        <v>67</v>
      </c>
      <c r="C23" s="4">
        <v>23</v>
      </c>
      <c r="D23" t="s" s="2">
        <v>42</v>
      </c>
      <c r="E23" t="s" s="2">
        <v>68</v>
      </c>
      <c r="F23" s="6">
        <v>46037</v>
      </c>
      <c r="G23" t="s" s="2">
        <v>69</v>
      </c>
      <c r="H23" t="s" s="2">
        <v>71</v>
      </c>
      <c r="I23" t="str" s="10">
        <f>HYPERLINK("https://www.diputados.gob.mx/LeyesBiblio/ref/lftse.htm")</f>
        <v>https://www.diputados.gob.mx/LeyesBiblio/ref/lftse.htm</v>
      </c>
    </row>
    <row r="24">
      <c r="A24" s="8">
        <v>46288.979166666664</v>
      </c>
      <c r="B24" t="s" s="2">
        <v>67</v>
      </c>
      <c r="C24" s="4">
        <v>24</v>
      </c>
      <c r="D24" t="s" s="2">
        <v>43</v>
      </c>
      <c r="E24" t="s" s="2">
        <v>68</v>
      </c>
      <c r="F24" s="6">
        <v>45946</v>
      </c>
      <c r="G24" t="s" s="2">
        <v>69</v>
      </c>
      <c r="H24" t="s" s="2">
        <v>71</v>
      </c>
      <c r="I24" t="str" s="10">
        <f>HYPERLINK("https://www.diputados.gob.mx/LeyesBiblio/ref/lamp.htm")</f>
        <v>https://www.diputados.gob.mx/LeyesBiblio/ref/lamp.htm</v>
      </c>
    </row>
    <row r="25">
      <c r="A25" s="8">
        <v>46288.979166666664</v>
      </c>
      <c r="B25" t="s" s="2">
        <v>67</v>
      </c>
      <c r="C25" s="4">
        <v>25</v>
      </c>
      <c r="D25" t="s" s="12">
        <v>45</v>
      </c>
      <c r="E25" t="s" s="2">
        <v>68</v>
      </c>
      <c r="F25" s="6">
        <v>45975</v>
      </c>
      <c r="G25" t="s" s="2">
        <v>69</v>
      </c>
      <c r="H25" t="s" s="2">
        <v>71</v>
      </c>
      <c r="I25" t="str" s="10">
        <f>HYPERLINK("https://www.diputados.gob.mx/LeyesBiblio/ref/lfpdppp.htm")</f>
        <v>https://www.diputados.gob.mx/LeyesBiblio/ref/lfpdppp.htm</v>
      </c>
    </row>
    <row r="26">
      <c r="A26" s="8">
        <v>46288.979166666664</v>
      </c>
      <c r="B26" t="s" s="2">
        <v>67</v>
      </c>
      <c r="C26" s="4">
        <v>26</v>
      </c>
      <c r="D26" t="s" s="2">
        <v>46</v>
      </c>
      <c r="E26" t="s" s="2">
        <v>68</v>
      </c>
      <c r="F26" s="6">
        <v>45383</v>
      </c>
      <c r="G26" t="s" s="2">
        <v>69</v>
      </c>
      <c r="H26" t="s" s="2">
        <v>71</v>
      </c>
      <c r="I26" t="str" s="10">
        <f>HYPERLINK("https://www.diputados.gob.mx/LeyesBiblio/ref/lgv.htm")</f>
        <v>https://www.diputados.gob.mx/LeyesBiblio/ref/lgv.htm</v>
      </c>
    </row>
    <row r="27">
      <c r="A27" s="8">
        <v>46288.979166666664</v>
      </c>
      <c r="B27" t="s" s="2">
        <v>67</v>
      </c>
      <c r="C27" s="4">
        <v>27</v>
      </c>
      <c r="D27" t="s" s="2">
        <v>47</v>
      </c>
      <c r="E27" t="s" s="2">
        <v>68</v>
      </c>
      <c r="F27" s="6">
        <v>46037</v>
      </c>
      <c r="G27" t="s" s="2">
        <v>69</v>
      </c>
      <c r="H27" t="s" s="2">
        <v>71</v>
      </c>
      <c r="I27" t="str" s="10">
        <f>HYPERLINK("https://www.diputados.gob.mx/LeyesBiblio/ref/lgs.htm")</f>
        <v>https://www.diputados.gob.mx/LeyesBiblio/ref/lgs.htm</v>
      </c>
    </row>
    <row r="28">
      <c r="A28" s="8">
        <v>46288.979166666664</v>
      </c>
      <c r="B28" t="s" s="2">
        <v>67</v>
      </c>
      <c r="C28" s="4">
        <v>28</v>
      </c>
      <c r="D28" t="s" s="2">
        <v>50</v>
      </c>
      <c r="E28" t="s" s="2">
        <v>68</v>
      </c>
      <c r="F28" s="6">
        <v>46037</v>
      </c>
      <c r="G28" t="s" s="2">
        <v>69</v>
      </c>
      <c r="H28" t="s" s="2">
        <v>71</v>
      </c>
      <c r="I28" t="str" s="10">
        <f>HYPERLINK("https://www.diputados.gob.mx/LeyesBiblio/ref/lss.htm")</f>
        <v>https://www.diputados.gob.mx/LeyesBiblio/ref/lss.htm</v>
      </c>
    </row>
    <row r="29">
      <c r="A29" s="8">
        <v>46288.979166666664</v>
      </c>
      <c r="B29" t="s" s="2">
        <v>67</v>
      </c>
      <c r="C29" s="4">
        <v>29</v>
      </c>
      <c r="D29" t="s" s="2">
        <v>51</v>
      </c>
      <c r="E29" t="s" s="2">
        <v>68</v>
      </c>
      <c r="F29" s="6">
        <v>46002</v>
      </c>
      <c r="G29" t="s" s="2">
        <v>69</v>
      </c>
      <c r="H29" t="s" s="2">
        <v>71</v>
      </c>
      <c r="I29" t="str" s="10">
        <f>HYPERLINK("https://www.diputados.gob.mx/LeyesBiblio/ref/lan.htm")</f>
        <v>https://www.diputados.gob.mx/LeyesBiblio/ref/lan.htm</v>
      </c>
    </row>
    <row r="30">
      <c r="A30" s="8">
        <v>46288.979166666664</v>
      </c>
      <c r="B30" t="s" s="2">
        <v>67</v>
      </c>
      <c r="C30" s="4">
        <v>30</v>
      </c>
      <c r="D30" t="s" s="12">
        <v>53</v>
      </c>
      <c r="E30" t="s" s="2">
        <v>68</v>
      </c>
      <c r="F30" s="6">
        <v>46041</v>
      </c>
      <c r="G30" t="s" s="2">
        <v>69</v>
      </c>
      <c r="H30" t="s" s="2">
        <v>71</v>
      </c>
      <c r="I30" t="str" s="10">
        <f>HYPERLINK("https://www.diputados.gob.mx/LeyesBiblio/ref/lgeepa.htm")</f>
        <v>https://www.diputados.gob.mx/LeyesBiblio/ref/lgeepa.htm</v>
      </c>
    </row>
    <row r="31">
      <c r="A31" s="8">
        <v>46288.979166666664</v>
      </c>
      <c r="B31" t="s" s="2">
        <v>67</v>
      </c>
      <c r="C31" s="4">
        <v>31</v>
      </c>
      <c r="D31" t="s" s="2">
        <v>54</v>
      </c>
      <c r="E31" t="s" s="2">
        <v>68</v>
      </c>
      <c r="F31" s="6">
        <v>45975</v>
      </c>
      <c r="G31" t="s" s="2">
        <v>69</v>
      </c>
      <c r="H31" t="s" s="2">
        <v>71</v>
      </c>
      <c r="I31" t="str" s="10">
        <f>HYPERLINK("https://www.diputados.gob.mx/LeyesBiblio/ref/lagra.htm")</f>
        <v>https://www.diputados.gob.mx/LeyesBiblio/ref/lagra.htm</v>
      </c>
    </row>
    <row r="32">
      <c r="A32" s="8">
        <v>46288.979166666664</v>
      </c>
      <c r="B32" t="s" s="2">
        <v>67</v>
      </c>
      <c r="C32" s="4">
        <v>32</v>
      </c>
      <c r="D32" t="s" s="2">
        <v>57</v>
      </c>
      <c r="E32" t="s" s="2">
        <v>68</v>
      </c>
      <c r="F32" s="6">
        <v>45854</v>
      </c>
      <c r="G32" t="s" s="2">
        <v>69</v>
      </c>
      <c r="H32" t="s" s="2">
        <v>71</v>
      </c>
      <c r="I32" t="str" s="10">
        <f>HYPERLINK("https://www.diputados.gob.mx/LeyesBiblio/ref/cjm.htm")</f>
        <v>https://www.diputados.gob.mx/LeyesBiblio/ref/cjm.htm</v>
      </c>
    </row>
  </sheetData>
  <autoFilter ref="A1:I32"/>
</worksheet>
</file>